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noll/Documents/builds/RobotArm/ExArm/hardware/pcb/RP2350B_board/production/"/>
    </mc:Choice>
  </mc:AlternateContent>
  <xr:revisionPtr revIDLastSave="0" documentId="13_ncr:1_{CCDF97F6-5FBE-C746-ABD2-8CA0DB2BAEE1}" xr6:coauthVersionLast="47" xr6:coauthVersionMax="47" xr10:uidLastSave="{00000000-0000-0000-0000-000000000000}"/>
  <bookViews>
    <workbookView xWindow="3780" yWindow="500" windowWidth="36600" windowHeight="19820" xr2:uid="{33911463-EE1C-3D48-B49D-D86AFE477491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G8" i="1" l="1"/>
  <c r="H8" i="1" s="1"/>
  <c r="H2" i="1"/>
  <c r="H3" i="1"/>
  <c r="H4" i="1"/>
  <c r="H5" i="1"/>
  <c r="H6" i="1"/>
  <c r="H7" i="1"/>
  <c r="H9" i="1"/>
  <c r="H11" i="1"/>
  <c r="H12" i="1"/>
  <c r="H13" i="1"/>
  <c r="H14" i="1"/>
  <c r="H15" i="1"/>
  <c r="H16" i="1"/>
  <c r="H17" i="1"/>
  <c r="H18" i="1"/>
  <c r="H19" i="1"/>
  <c r="H20" i="1"/>
  <c r="H10" i="1"/>
</calcChain>
</file>

<file path=xl/sharedStrings.xml><?xml version="1.0" encoding="utf-8"?>
<sst xmlns="http://schemas.openxmlformats.org/spreadsheetml/2006/main" count="97" uniqueCount="87">
  <si>
    <t>Designator</t>
  </si>
  <si>
    <t>Footprint</t>
  </si>
  <si>
    <t>Quantity</t>
  </si>
  <si>
    <t>Value</t>
  </si>
  <si>
    <t>C1, C19, C5</t>
  </si>
  <si>
    <t>0805</t>
  </si>
  <si>
    <t>C10, C6, C7, C9</t>
  </si>
  <si>
    <t>0402</t>
  </si>
  <si>
    <t>C11, C12, C13, C14, C15, C16, C17, C18, C2, C20, C21, C8</t>
  </si>
  <si>
    <t>C22, R1, R11, R13, R9</t>
  </si>
  <si>
    <t>DNF</t>
  </si>
  <si>
    <t>C3, C4</t>
  </si>
  <si>
    <t>J1</t>
  </si>
  <si>
    <t>USB_Micro-B_Amphenol_10103594-0001LF_Horizontal</t>
  </si>
  <si>
    <t>USB_B_Micro</t>
  </si>
  <si>
    <t>J2, J3</t>
  </si>
  <si>
    <t>PinHeader_2x26_P2.54mm_Vertical</t>
  </si>
  <si>
    <t>Conn_02x26_Odd_Even</t>
  </si>
  <si>
    <t>J4</t>
  </si>
  <si>
    <t>JST_SH_SM03B-SRSS-TB_1x03-1MP_P1.00mm_Horizontal</t>
  </si>
  <si>
    <t>SM03B-SRSS-TB</t>
  </si>
  <si>
    <t>L1</t>
  </si>
  <si>
    <t>L_pol_2016</t>
  </si>
  <si>
    <t>R10</t>
  </si>
  <si>
    <t>R2, R4, R6</t>
  </si>
  <si>
    <t>1k</t>
  </si>
  <si>
    <t>R3</t>
  </si>
  <si>
    <t>R7, R8</t>
  </si>
  <si>
    <t>SW1, SW2</t>
  </si>
  <si>
    <t>SW_Push_1P1T_NO_Vertical_Wuerth_434133025816</t>
  </si>
  <si>
    <t>SW_Push</t>
  </si>
  <si>
    <t>U1</t>
  </si>
  <si>
    <t>RP2350-QFN-80-1EP_10x10_P0.4mm_EP3.4x3.4mm_ThermalVias</t>
  </si>
  <si>
    <t>RP2350_80QFN</t>
  </si>
  <si>
    <t>U2</t>
  </si>
  <si>
    <t>SOT-223-3_TabPin2</t>
  </si>
  <si>
    <t>NCP1117-3.3_SOT223</t>
  </si>
  <si>
    <t>U3</t>
  </si>
  <si>
    <t>SOIC-8_5.23x5.23mm_P1.27mm</t>
  </si>
  <si>
    <t>W25Q128JVS</t>
  </si>
  <si>
    <t>U4</t>
  </si>
  <si>
    <t>Y1</t>
  </si>
  <si>
    <t>Crystal_SMD_3225-4Pin_3.2x2.5mm</t>
  </si>
  <si>
    <t>ABM8-272-T3</t>
  </si>
  <si>
    <t>Digikey Part number</t>
  </si>
  <si>
    <t>Comment</t>
  </si>
  <si>
    <t>AOTA-B201610S3R3-101-T</t>
  </si>
  <si>
    <t>FIXED IND 3.3UH  2.4 A 140MOHM</t>
  </si>
  <si>
    <t>Price</t>
  </si>
  <si>
    <t>Cost</t>
  </si>
  <si>
    <t>NCP1117LPST33T3G</t>
  </si>
  <si>
    <t>IC REG LINEAR 3.3V 1A SOT-223</t>
  </si>
  <si>
    <t>4.7uF</t>
  </si>
  <si>
    <t>10uF</t>
  </si>
  <si>
    <t>100nF</t>
  </si>
  <si>
    <t>15pF</t>
  </si>
  <si>
    <t>3.3uH</t>
  </si>
  <si>
    <t>W25Q32JVSSIQ (!smaller!)</t>
  </si>
  <si>
    <t>IC FLASH 32MBIT SPI/QUAD 8SOIC</t>
  </si>
  <si>
    <t>CRYSTAL 12.0000MHZ 10PF SMD</t>
  </si>
  <si>
    <t>CONN HEADER SMD R/A 3POS 1MM</t>
  </si>
  <si>
    <t>SM03B-SRSS-TB (optional)</t>
  </si>
  <si>
    <t>SC1510-A4</t>
  </si>
  <si>
    <t xml:space="preserve">RP2350B / 7" REEL </t>
  </si>
  <si>
    <t>-</t>
  </si>
  <si>
    <t>ebay parts</t>
  </si>
  <si>
    <t>SWITCH TACTILE SPST-NO 0.05A 16V</t>
  </si>
  <si>
    <t>2nd optional</t>
  </si>
  <si>
    <t>CAP CER 15PF 50V C0G/NP0 0402</t>
  </si>
  <si>
    <t>GCM1555C1H150FA16D</t>
  </si>
  <si>
    <t>RES SMD 1K OHM 1% 1/16W 0402</t>
  </si>
  <si>
    <t>CRCW04021K00FKED</t>
  </si>
  <si>
    <t>RES SMD 27 OHM 1% 1/10W 0402</t>
  </si>
  <si>
    <t>ERJ-2RKF27R0X</t>
  </si>
  <si>
    <t>RES SMD 33 OHM 1% 1/16W 0402</t>
  </si>
  <si>
    <t>CRCW040233R0FKED</t>
  </si>
  <si>
    <t>RES SMD 0 OHM JUMPER 1/5W 0402</t>
  </si>
  <si>
    <t>CRCW04020000Z0EDHP</t>
  </si>
  <si>
    <t>CAP CER 0.1UF 10V X7R 0402</t>
  </si>
  <si>
    <t>CL05B104KP5NNNC</t>
  </si>
  <si>
    <t>CAP CER 4.7UF 10V X5R 0402</t>
  </si>
  <si>
    <t>CL05A475KP5NRNC</t>
  </si>
  <si>
    <t>CAP CER 10UF 16V X5R 0805</t>
  </si>
  <si>
    <t>CL21A106KOQNNNE</t>
  </si>
  <si>
    <t>CONN RCPT USB2.0 MICRO B SMD R/A</t>
  </si>
  <si>
    <t>10103594-0001LF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</si>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</sst>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applyFont="1"/>
    <xf numFmtId="164" fontId="19" fillId="0" borderId="0" xfId="0" applyNumberFormat="1" applyFont="1"/>
    <xf numFmtId="0" fontId="19" fillId="0" borderId="10" xfId="0" applyFont="1" applyBorder="1"/>
    <xf numFmtId="0" fontId="19" fillId="0" borderId="10" xfId="0" applyFont="1" applyBorder="1" applyAlignment="1">
      <alignment horizontal="left"/>
    </xf>
    <xf numFmtId="164" fontId="19" fillId="0" borderId="10" xfId="0" applyNumberFormat="1" applyFont="1" applyBorder="1"/>
    <xf numFmtId="0" fontId="0" fillId="0" borderId="10" xfId="0" applyBorder="1"/>
    <xf numFmtId="0" fontId="0" fillId="0" borderId="10" xfId="0" quotePrefix="1" applyBorder="1"/>
    <xf numFmtId="0" fontId="0" fillId="0" borderId="10" xfId="0" applyBorder="1" applyAlignment="1">
      <alignment horizontal="left"/>
    </xf>
    <xf numFmtId="164" fontId="0" fillId="0" borderId="10" xfId="0" applyNumberFormat="1" applyBorder="1"/>
    <xf numFmtId="0" fontId="18" fillId="0" borderId="10" xfId="0" applyFont="1" applyBorder="1"/>
    <xf numFmtId="0" fontId="18" fillId="0" borderId="10" xfId="0" quotePrefix="1" applyFont="1" applyBorder="1"/>
    <xf numFmtId="0" fontId="18" fillId="0" borderId="10" xfId="0" applyFont="1" applyBorder="1" applyAlignment="1">
      <alignment horizontal="left"/>
    </xf>
    <xf numFmtId="164" fontId="18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F235-CC33-5749-AEE7-D03A81662477}">
  <dimension ref="A1:H23"/>
  <sheetViews>
    <sheetView tabSelected="1" zoomScale="120" zoomScaleNormal="120" workbookViewId="0">
      <selection activeCell="F29" sqref="F29"/>
    </sheetView>
  </sheetViews>
  <sheetFormatPr baseColWidth="10" defaultRowHeight="16" x14ac:dyDescent="0.2"/>
  <cols>
    <col min="1" max="1" width="30.5" customWidth="1"/>
    <col min="2" max="2" width="53.33203125" customWidth="1"/>
    <col min="4" max="4" width="20.83203125" style="1" customWidth="1"/>
    <col min="5" max="5" width="25.1640625" customWidth="1"/>
    <col min="6" max="6" width="30.33203125" customWidth="1"/>
    <col min="7" max="7" width="10.83203125" style="2"/>
  </cols>
  <sheetData>
    <row r="1" spans="1:8" x14ac:dyDescent="0.2">
      <c r="A1" s="5" t="s">
        <v>0</v>
      </c>
      <c r="B1" s="5" t="s">
        <v>1</v>
      </c>
      <c r="C1" s="5" t="s">
        <v>2</v>
      </c>
      <c r="D1" s="6" t="s">
        <v>3</v>
      </c>
      <c r="E1" s="5" t="s">
        <v>44</v>
      </c>
      <c r="F1" s="5" t="s">
        <v>45</v>
      </c>
      <c r="G1" s="7" t="s">
        <v>48</v>
      </c>
      <c r="H1" s="5" t="s">
        <v>49</v>
      </c>
    </row>
    <row r="2" spans="1:8" x14ac:dyDescent="0.2">
      <c r="A2" s="8" t="s">
        <v>4</v>
      </c>
      <c r="B2" s="9" t="s">
        <v>5</v>
      </c>
      <c r="C2" s="8">
        <v>3</v>
      </c>
      <c r="D2" s="10" t="s">
        <v>53</v>
      </c>
      <c r="E2" s="8" t="s">
        <v>83</v>
      </c>
      <c r="F2" s="8" t="s">
        <v>82</v>
      </c>
      <c r="G2" s="11">
        <v>2.4E-2</v>
      </c>
      <c r="H2" s="11">
        <f t="shared" ref="H2:H9" si="0">G2*C2</f>
        <v>7.2000000000000008E-2</v>
      </c>
    </row>
    <row r="3" spans="1:8" x14ac:dyDescent="0.2">
      <c r="A3" s="8" t="s">
        <v>6</v>
      </c>
      <c r="B3" s="9" t="s">
        <v>7</v>
      </c>
      <c r="C3" s="8">
        <v>4</v>
      </c>
      <c r="D3" s="10" t="s">
        <v>52</v>
      </c>
      <c r="E3" s="8" t="s">
        <v>81</v>
      </c>
      <c r="F3" s="8" t="s">
        <v>80</v>
      </c>
      <c r="G3" s="11">
        <v>7.6999999999999999E-2</v>
      </c>
      <c r="H3" s="11">
        <f t="shared" si="0"/>
        <v>0.308</v>
      </c>
    </row>
    <row r="4" spans="1:8" x14ac:dyDescent="0.2">
      <c r="A4" s="8" t="s">
        <v>8</v>
      </c>
      <c r="B4" s="9" t="s">
        <v>7</v>
      </c>
      <c r="C4" s="8">
        <v>12</v>
      </c>
      <c r="D4" s="10" t="s">
        <v>54</v>
      </c>
      <c r="E4" s="8" t="s">
        <v>79</v>
      </c>
      <c r="F4" s="8" t="s">
        <v>78</v>
      </c>
      <c r="G4" s="11">
        <v>3.0000000000000001E-3</v>
      </c>
      <c r="H4" s="11">
        <f t="shared" si="0"/>
        <v>3.6000000000000004E-2</v>
      </c>
    </row>
    <row r="5" spans="1:8" s="3" customFormat="1" x14ac:dyDescent="0.2">
      <c r="A5" s="12" t="s">
        <v>9</v>
      </c>
      <c r="B5" s="13" t="s">
        <v>7</v>
      </c>
      <c r="C5" s="12">
        <v>5</v>
      </c>
      <c r="D5" s="14" t="s">
        <v>10</v>
      </c>
      <c r="E5" s="12"/>
      <c r="F5" s="12"/>
      <c r="G5" s="15"/>
      <c r="H5" s="15">
        <f t="shared" si="0"/>
        <v>0</v>
      </c>
    </row>
    <row r="6" spans="1:8" x14ac:dyDescent="0.2">
      <c r="A6" s="8" t="s">
        <v>11</v>
      </c>
      <c r="B6" s="9" t="s">
        <v>7</v>
      </c>
      <c r="C6" s="8">
        <v>2</v>
      </c>
      <c r="D6" s="10" t="s">
        <v>55</v>
      </c>
      <c r="E6" s="8" t="s">
        <v>69</v>
      </c>
      <c r="F6" s="8" t="s">
        <v>68</v>
      </c>
      <c r="G6" s="11">
        <v>6.3E-2</v>
      </c>
      <c r="H6" s="11">
        <f t="shared" si="0"/>
        <v>0.126</v>
      </c>
    </row>
    <row r="7" spans="1:8" x14ac:dyDescent="0.2">
      <c r="A7" s="8" t="s">
        <v>12</v>
      </c>
      <c r="B7" s="8" t="s">
        <v>13</v>
      </c>
      <c r="C7" s="8">
        <v>1</v>
      </c>
      <c r="D7" s="10" t="s">
        <v>14</v>
      </c>
      <c r="E7" s="8" t="s">
        <v>85</v>
      </c>
      <c r="F7" s="8" t="s">
        <v>84</v>
      </c>
      <c r="G7" s="11">
        <v>0.64</v>
      </c>
      <c r="H7" s="11">
        <f t="shared" si="0"/>
        <v>0.64</v>
      </c>
    </row>
    <row r="8" spans="1:8" x14ac:dyDescent="0.2">
      <c r="A8" s="8" t="s">
        <v>15</v>
      </c>
      <c r="B8" s="8" t="s">
        <v>16</v>
      </c>
      <c r="C8" s="8">
        <v>2</v>
      </c>
      <c r="D8" s="10" t="s">
        <v>17</v>
      </c>
      <c r="E8" s="8" t="s">
        <v>64</v>
      </c>
      <c r="F8" s="8" t="s">
        <v>65</v>
      </c>
      <c r="G8" s="11">
        <f>0.368*2</f>
        <v>0.73599999999999999</v>
      </c>
      <c r="H8" s="11">
        <f t="shared" si="0"/>
        <v>1.472</v>
      </c>
    </row>
    <row r="9" spans="1:8" x14ac:dyDescent="0.2">
      <c r="A9" s="8" t="s">
        <v>18</v>
      </c>
      <c r="B9" s="8" t="s">
        <v>19</v>
      </c>
      <c r="C9" s="8">
        <v>1</v>
      </c>
      <c r="D9" s="10" t="s">
        <v>20</v>
      </c>
      <c r="E9" s="10" t="s">
        <v>61</v>
      </c>
      <c r="F9" s="8" t="s">
        <v>60</v>
      </c>
      <c r="G9" s="11">
        <v>0.38</v>
      </c>
      <c r="H9" s="11">
        <f t="shared" si="0"/>
        <v>0.38</v>
      </c>
    </row>
    <row r="10" spans="1:8" x14ac:dyDescent="0.2">
      <c r="A10" s="8" t="s">
        <v>21</v>
      </c>
      <c r="B10" s="8" t="s">
        <v>22</v>
      </c>
      <c r="C10" s="8">
        <v>1</v>
      </c>
      <c r="D10" s="10" t="s">
        <v>56</v>
      </c>
      <c r="E10" s="8" t="s">
        <v>46</v>
      </c>
      <c r="F10" s="8" t="s">
        <v>47</v>
      </c>
      <c r="G10" s="11">
        <v>0.156</v>
      </c>
      <c r="H10" s="11">
        <f>G10*C10</f>
        <v>0.156</v>
      </c>
    </row>
    <row r="11" spans="1:8" x14ac:dyDescent="0.2">
      <c r="A11" s="8" t="s">
        <v>23</v>
      </c>
      <c r="B11" s="9" t="s">
        <v>7</v>
      </c>
      <c r="C11" s="8">
        <v>1</v>
      </c>
      <c r="D11" s="10">
        <v>0</v>
      </c>
      <c r="E11" s="8" t="s">
        <v>77</v>
      </c>
      <c r="F11" s="8" t="s">
        <v>76</v>
      </c>
      <c r="G11" s="11">
        <v>3.4000000000000002E-2</v>
      </c>
      <c r="H11" s="11">
        <f t="shared" ref="H11:H20" si="1">G11*C11</f>
        <v>3.4000000000000002E-2</v>
      </c>
    </row>
    <row r="12" spans="1:8" x14ac:dyDescent="0.2">
      <c r="A12" s="8" t="s">
        <v>24</v>
      </c>
      <c r="B12" s="9" t="s">
        <v>7</v>
      </c>
      <c r="C12" s="8">
        <v>3</v>
      </c>
      <c r="D12" s="10" t="s">
        <v>25</v>
      </c>
      <c r="E12" s="8" t="s">
        <v>71</v>
      </c>
      <c r="F12" s="8" t="s">
        <v>70</v>
      </c>
      <c r="G12" s="11">
        <v>1.9199999999999998E-2</v>
      </c>
      <c r="H12" s="11">
        <f t="shared" si="1"/>
        <v>5.7599999999999998E-2</v>
      </c>
    </row>
    <row r="13" spans="1:8" x14ac:dyDescent="0.2">
      <c r="A13" s="8" t="s">
        <v>26</v>
      </c>
      <c r="B13" s="9" t="s">
        <v>7</v>
      </c>
      <c r="C13" s="8">
        <v>1</v>
      </c>
      <c r="D13" s="10">
        <v>33</v>
      </c>
      <c r="E13" s="8" t="s">
        <v>75</v>
      </c>
      <c r="F13" s="8" t="s">
        <v>74</v>
      </c>
      <c r="G13" s="11">
        <v>2.5999999999999999E-2</v>
      </c>
      <c r="H13" s="11">
        <f t="shared" si="1"/>
        <v>2.5999999999999999E-2</v>
      </c>
    </row>
    <row r="14" spans="1:8" x14ac:dyDescent="0.2">
      <c r="A14" s="8" t="s">
        <v>27</v>
      </c>
      <c r="B14" s="9" t="s">
        <v>7</v>
      </c>
      <c r="C14" s="8">
        <v>2</v>
      </c>
      <c r="D14" s="10">
        <v>27</v>
      </c>
      <c r="E14" s="8" t="s">
        <v>73</v>
      </c>
      <c r="F14" s="8" t="s">
        <v>72</v>
      </c>
      <c r="G14" s="11">
        <v>2.4E-2</v>
      </c>
      <c r="H14" s="11">
        <f t="shared" si="1"/>
        <v>4.8000000000000001E-2</v>
      </c>
    </row>
    <row r="15" spans="1:8" x14ac:dyDescent="0.2">
      <c r="A15" s="8" t="s">
        <v>28</v>
      </c>
      <c r="B15" s="8" t="s">
        <v>29</v>
      </c>
      <c r="C15" s="8">
        <v>2</v>
      </c>
      <c r="D15" s="10" t="s">
        <v>30</v>
      </c>
      <c r="E15" s="8" t="s">
        <v>66</v>
      </c>
      <c r="F15" s="8" t="s">
        <v>67</v>
      </c>
      <c r="G15" s="11">
        <v>0.46</v>
      </c>
      <c r="H15" s="11">
        <f t="shared" si="1"/>
        <v>0.92</v>
      </c>
    </row>
    <row r="16" spans="1:8" x14ac:dyDescent="0.2">
      <c r="A16" s="8" t="s">
        <v>31</v>
      </c>
      <c r="B16" s="8" t="s">
        <v>32</v>
      </c>
      <c r="C16" s="8">
        <v>1</v>
      </c>
      <c r="D16" s="10" t="s">
        <v>33</v>
      </c>
      <c r="E16" s="8" t="s">
        <v>62</v>
      </c>
      <c r="F16" s="8" t="s">
        <v>63</v>
      </c>
      <c r="G16" s="11">
        <v>1.03</v>
      </c>
      <c r="H16" s="11">
        <f t="shared" si="1"/>
        <v>1.03</v>
      </c>
    </row>
    <row r="17" spans="1:8" x14ac:dyDescent="0.2">
      <c r="A17" s="8" t="s">
        <v>34</v>
      </c>
      <c r="B17" s="8" t="s">
        <v>35</v>
      </c>
      <c r="C17" s="8">
        <v>1</v>
      </c>
      <c r="D17" s="10" t="s">
        <v>36</v>
      </c>
      <c r="E17" s="8" t="s">
        <v>50</v>
      </c>
      <c r="F17" s="8" t="s">
        <v>51</v>
      </c>
      <c r="G17" s="11">
        <v>0.219</v>
      </c>
      <c r="H17" s="11">
        <f t="shared" si="1"/>
        <v>0.219</v>
      </c>
    </row>
    <row r="18" spans="1:8" x14ac:dyDescent="0.2">
      <c r="A18" s="8" t="s">
        <v>37</v>
      </c>
      <c r="B18" s="8" t="s">
        <v>38</v>
      </c>
      <c r="C18" s="8">
        <v>1</v>
      </c>
      <c r="D18" s="10" t="s">
        <v>39</v>
      </c>
      <c r="E18" s="8" t="s">
        <v>57</v>
      </c>
      <c r="F18" s="8" t="s">
        <v>58</v>
      </c>
      <c r="G18" s="11">
        <v>0.65</v>
      </c>
      <c r="H18" s="11">
        <f t="shared" si="1"/>
        <v>0.65</v>
      </c>
    </row>
    <row r="19" spans="1:8" s="3" customFormat="1" x14ac:dyDescent="0.2">
      <c r="A19" s="12" t="s">
        <v>40</v>
      </c>
      <c r="B19" s="12" t="s">
        <v>38</v>
      </c>
      <c r="C19" s="12">
        <v>1</v>
      </c>
      <c r="D19" s="14" t="s">
        <v>10</v>
      </c>
      <c r="E19" s="12"/>
      <c r="F19" s="12"/>
      <c r="G19" s="15"/>
      <c r="H19" s="15">
        <f t="shared" si="1"/>
        <v>0</v>
      </c>
    </row>
    <row r="20" spans="1:8" x14ac:dyDescent="0.2">
      <c r="A20" s="8" t="s">
        <v>41</v>
      </c>
      <c r="B20" s="8" t="s">
        <v>42</v>
      </c>
      <c r="C20" s="8">
        <v>1</v>
      </c>
      <c r="D20" s="10" t="s">
        <v>43</v>
      </c>
      <c r="E20" s="8" t="s">
        <v>43</v>
      </c>
      <c r="F20" s="8" t="s">
        <v>59</v>
      </c>
      <c r="G20" s="11">
        <v>0.64</v>
      </c>
      <c r="H20" s="11">
        <f t="shared" si="1"/>
        <v>0.64</v>
      </c>
    </row>
    <row r="23" spans="1:8" x14ac:dyDescent="0.2">
      <c r="G23" s="4" t="s">
        <v>86</v>
      </c>
      <c r="H23" s="4">
        <f>SUM(H2:H20)</f>
        <v>6.8146000000000004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Noll</dc:creator>
  <cp:lastModifiedBy>Lukas Noll</cp:lastModifiedBy>
  <dcterms:created xsi:type="dcterms:W3CDTF">2025-08-29T04:23:59Z</dcterms:created>
  <dcterms:modified xsi:type="dcterms:W3CDTF">2025-09-02T04:24:43Z</dcterms:modified>
</cp:coreProperties>
</file>