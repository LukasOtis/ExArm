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ukasnoll/Documents/builds/RobotArm/ExArm/hardware/pcb/controller_board/assembly/"/>
    </mc:Choice>
  </mc:AlternateContent>
  <xr:revisionPtr revIDLastSave="0" documentId="13_ncr:1_{74BF1857-8F81-5F49-B4A4-383D7ED1EC3D}" xr6:coauthVersionLast="47" xr6:coauthVersionMax="47" xr10:uidLastSave="{00000000-0000-0000-0000-000000000000}"/>
  <bookViews>
    <workbookView xWindow="0" yWindow="880" windowWidth="34200" windowHeight="203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8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11" i="1"/>
  <c r="I10" i="1"/>
  <c r="I9" i="1"/>
  <c r="I8" i="1"/>
  <c r="I7" i="1"/>
  <c r="I3" i="1"/>
  <c r="I5" i="1"/>
  <c r="I4" i="1"/>
  <c r="I6" i="1"/>
  <c r="I56" i="1" l="1"/>
</calcChain>
</file>

<file path=xl/sharedStrings.xml><?xml version="1.0" encoding="utf-8"?>
<sst xmlns="http://schemas.openxmlformats.org/spreadsheetml/2006/main" count="299" uniqueCount="232">
  <si>
    <t>BOM_with_all_Digi_Key_numbers</t>
  </si>
  <si>
    <t>Designator</t>
  </si>
  <si>
    <t>Footprint</t>
  </si>
  <si>
    <t>Quantity</t>
  </si>
  <si>
    <t>Value</t>
  </si>
  <si>
    <t>LCSC Part #</t>
  </si>
  <si>
    <t>A1</t>
  </si>
  <si>
    <t>RaspberryPi_Pico_Common_THT</t>
  </si>
  <si>
    <t>RaspberryPi_Pico</t>
  </si>
  <si>
    <t>C7203003</t>
  </si>
  <si>
    <t>C1, C10, C16, C7</t>
  </si>
  <si>
    <t>CAP_EEFK_D8_PAN</t>
  </si>
  <si>
    <t>EEE-FK1H470XP</t>
  </si>
  <si>
    <t>C168842</t>
  </si>
  <si>
    <t>C11, C12, C2, C3</t>
  </si>
  <si>
    <t>C125847</t>
  </si>
  <si>
    <t>C13, C4</t>
  </si>
  <si>
    <t>0.1uF</t>
  </si>
  <si>
    <t>C15725</t>
  </si>
  <si>
    <t>C14, C5</t>
  </si>
  <si>
    <t>2.2nF</t>
  </si>
  <si>
    <t>C327023</t>
  </si>
  <si>
    <t>C15</t>
  </si>
  <si>
    <t>50pF</t>
  </si>
  <si>
    <t>C17, C18, C8, C9</t>
  </si>
  <si>
    <t>22uF</t>
  </si>
  <si>
    <t>C19, C20, C22, C23, C24, C26, C27, C28, C30, C31, C32, C34, C35, C36, C38, C42, C43, C44, C45, C48, C49, C52, C53</t>
  </si>
  <si>
    <t>100nF</t>
  </si>
  <si>
    <t>C21, C25, C29, C33, C37, C46, C51, C55</t>
  </si>
  <si>
    <t>1uF</t>
  </si>
  <si>
    <t>C39</t>
  </si>
  <si>
    <t>4.7uF</t>
  </si>
  <si>
    <t>C40</t>
  </si>
  <si>
    <t>C41</t>
  </si>
  <si>
    <t>470pF</t>
  </si>
  <si>
    <t>C47, C50, C54</t>
  </si>
  <si>
    <t>25uF</t>
  </si>
  <si>
    <t>C6</t>
  </si>
  <si>
    <t>65pF</t>
  </si>
  <si>
    <t>CR1, CR2</t>
  </si>
  <si>
    <t>DIODE_TO-277A</t>
  </si>
  <si>
    <t>SS5P10-M3/86A</t>
  </si>
  <si>
    <t>CR10, CR11, CR12, CR13, CR14, CR15, CR16, CR17, CR3, CR4, CR5, CR6, CR7, CR8, CR9</t>
  </si>
  <si>
    <t>SOT23_TO-236AB_NEX</t>
  </si>
  <si>
    <t>PESD2CAN_215</t>
  </si>
  <si>
    <t>C800000</t>
  </si>
  <si>
    <t>SM6T39AY</t>
  </si>
  <si>
    <t>D1, D4</t>
  </si>
  <si>
    <t>D_Zener</t>
  </si>
  <si>
    <t>C179519</t>
  </si>
  <si>
    <t>D10, D12, D8</t>
  </si>
  <si>
    <t>D_SMB</t>
  </si>
  <si>
    <t>D11, D2, D3, D5, D6, D7, D9</t>
  </si>
  <si>
    <t>LED</t>
  </si>
  <si>
    <t>C39197</t>
  </si>
  <si>
    <t>FB1, FB2</t>
  </si>
  <si>
    <t>FerriteBead</t>
  </si>
  <si>
    <t>FB3, FB4, FB5, FB6, FB7, FB8</t>
  </si>
  <si>
    <t>J1, J2, J3, J4, J5</t>
  </si>
  <si>
    <t>CONN_SD-43045-010_08_MOL</t>
  </si>
  <si>
    <t>C46703</t>
  </si>
  <si>
    <t>J10, J6, J7, J8, J9</t>
  </si>
  <si>
    <t>PinHeader_1x04_P2.54mm_Vertical</t>
  </si>
  <si>
    <t>debug</t>
  </si>
  <si>
    <t>C00000</t>
  </si>
  <si>
    <t>J11</t>
  </si>
  <si>
    <t>UART</t>
  </si>
  <si>
    <t>J12</t>
  </si>
  <si>
    <t>PinHeader_2x04_P2.54mm_Vertical</t>
  </si>
  <si>
    <t>Conn_02x04_Odd_Even</t>
  </si>
  <si>
    <t>J13, J15, J17, J22, J24, J26</t>
  </si>
  <si>
    <t>PinHeader_2x02_P2.54mm_Vertical</t>
  </si>
  <si>
    <t>Conn_02x02_Odd_Even</t>
  </si>
  <si>
    <t>J14, J16, J18, J23, J25, J27</t>
  </si>
  <si>
    <t>CONN_SD-43650-010_03_MOL</t>
  </si>
  <si>
    <t>C46704</t>
  </si>
  <si>
    <t>J19, J20, J21</t>
  </si>
  <si>
    <t>TerminalBlock_MetzConnect_Type055_RT01502HDWU_1x02_P5.00mm_Horizontal</t>
  </si>
  <si>
    <t>Screw_Terminal_01x02</t>
  </si>
  <si>
    <t>K1, K2, K3</t>
  </si>
  <si>
    <t>V-SOP4_special_OMR</t>
  </si>
  <si>
    <t>G3VM-61VY3</t>
  </si>
  <si>
    <t>L1</t>
  </si>
  <si>
    <t>IND_1210-WE-PD_WRE</t>
  </si>
  <si>
    <t>L2</t>
  </si>
  <si>
    <t>L3</t>
  </si>
  <si>
    <t>22uH</t>
  </si>
  <si>
    <t>R1, R7</t>
  </si>
  <si>
    <t>10k</t>
  </si>
  <si>
    <t>R10</t>
  </si>
  <si>
    <t>453k 1%</t>
  </si>
  <si>
    <t>R11</t>
  </si>
  <si>
    <t>50k 1%</t>
  </si>
  <si>
    <t>R12</t>
  </si>
  <si>
    <t>2k</t>
  </si>
  <si>
    <t>R13, R14, R15, R16, R17, R18, R19, R20, R21, R22, R23, R24, R25, R26, R27, R28, R29, R30</t>
  </si>
  <si>
    <t>R2, R8</t>
  </si>
  <si>
    <t>31.6kOhm</t>
  </si>
  <si>
    <t>R3, R9</t>
  </si>
  <si>
    <t>100k</t>
  </si>
  <si>
    <t>R31, R32, R33</t>
  </si>
  <si>
    <t>4.7k</t>
  </si>
  <si>
    <t>R34, R35, R36</t>
  </si>
  <si>
    <t>0/10Ohm</t>
  </si>
  <si>
    <t>R37, R38, R39</t>
  </si>
  <si>
    <t>R4</t>
  </si>
  <si>
    <t>316k 1%</t>
  </si>
  <si>
    <t>R40, R42, R44</t>
  </si>
  <si>
    <t>R41, R43, R45</t>
  </si>
  <si>
    <t>1k</t>
  </si>
  <si>
    <t>R5</t>
  </si>
  <si>
    <t>100k 1%</t>
  </si>
  <si>
    <t>R6</t>
  </si>
  <si>
    <t>R_ESR1, R_ESR2</t>
  </si>
  <si>
    <t>20mOhm</t>
  </si>
  <si>
    <t>U1, U2</t>
  </si>
  <si>
    <t>POWERPAD8_DDA_TEX</t>
  </si>
  <si>
    <t>LM5013QDDARQ1</t>
  </si>
  <si>
    <t>C5219285</t>
  </si>
  <si>
    <t>U10, U12, U4, U6, U8</t>
  </si>
  <si>
    <t>SOIC-16_3.9x9.9mm_P1.27mm</t>
  </si>
  <si>
    <t>AM26LS31CD</t>
  </si>
  <si>
    <t>C2862931</t>
  </si>
  <si>
    <t>U11, U14, U3, U5, U7, U9</t>
  </si>
  <si>
    <t>DW0016B_M</t>
  </si>
  <si>
    <t>ISO7730FDWR</t>
  </si>
  <si>
    <t>U13</t>
  </si>
  <si>
    <t>OPEN-FRAME10_15.24X11.1X8_RCP</t>
  </si>
  <si>
    <t>R2SX-1205/H-R</t>
  </si>
  <si>
    <t>U15, U16, U17</t>
  </si>
  <si>
    <t>SOIC-8_M_MCH</t>
  </si>
  <si>
    <t>MIC4420YM-TR</t>
  </si>
  <si>
    <t>C628026</t>
  </si>
  <si>
    <t>GRM1885C1H101JA01D</t>
  </si>
  <si>
    <t>0.07</t>
  </si>
  <si>
    <t>Price e.a</t>
  </si>
  <si>
    <t>Cost</t>
  </si>
  <si>
    <t>in inventory</t>
  </si>
  <si>
    <t>status</t>
  </si>
  <si>
    <t>ordered</t>
  </si>
  <si>
    <t>-</t>
  </si>
  <si>
    <t>581-KAM21KR71H225KU (mouser)</t>
  </si>
  <si>
    <t>(Digi-Key) Name</t>
  </si>
  <si>
    <t>KYOCERA AVX</t>
  </si>
  <si>
    <t>CL21A226MAYNNNE</t>
  </si>
  <si>
    <t>comment</t>
  </si>
  <si>
    <t xml:space="preserve">2.2uF </t>
  </si>
  <si>
    <t>12V feedback loop</t>
  </si>
  <si>
    <t>20V ok</t>
  </si>
  <si>
    <t>48V min</t>
  </si>
  <si>
    <t>CC0603KRX7R7BB104</t>
  </si>
  <si>
    <t>CL10B105KO8NNNC</t>
  </si>
  <si>
    <t>C0805C475K4RACAUTO (mouser)</t>
  </si>
  <si>
    <t>0.12</t>
  </si>
  <si>
    <t>KGM21NR71H104KT</t>
  </si>
  <si>
    <t>CL10C471JB8NNNC</t>
  </si>
  <si>
    <t>going with 22uF</t>
  </si>
  <si>
    <t>GRM188R60J226MEA0J</t>
  </si>
  <si>
    <t>5%</t>
  </si>
  <si>
    <t>going with 68</t>
  </si>
  <si>
    <t>C0603C680J1GACTU</t>
  </si>
  <si>
    <t>GRM1555C1H222GA01D</t>
  </si>
  <si>
    <t>TVS DIODE 24VWM 41VC TO236AB</t>
  </si>
  <si>
    <t>PESD2CAN,215</t>
  </si>
  <si>
    <t>SOD123W</t>
  </si>
  <si>
    <t>HPZR-C50-QX</t>
  </si>
  <si>
    <t>optional</t>
  </si>
  <si>
    <t>TVS DIODE 18VWM 29.2VC DO214AA</t>
  </si>
  <si>
    <t>LED ORANGE CLEAR SMD</t>
  </si>
  <si>
    <t>orange</t>
  </si>
  <si>
    <t>FERRITE BEAD 600 OHM 0805 1LN</t>
  </si>
  <si>
    <t>FERRITE BEAD 120 OHM 0603 1LN</t>
  </si>
  <si>
    <t>BLM18KG121TN1D</t>
  </si>
  <si>
    <t>MPZ2012S601AT000</t>
  </si>
  <si>
    <t>CONN HEADER VERT 8POS 3MM</t>
  </si>
  <si>
    <t>CONN HEADER VERT 4POS 2.54MM</t>
  </si>
  <si>
    <t>CONN HEADER VERT 8POS 2.54MM</t>
  </si>
  <si>
    <t>PH2-04-UA</t>
  </si>
  <si>
    <t>PH2-08-UA</t>
  </si>
  <si>
    <t>PH1-04-UA</t>
  </si>
  <si>
    <t>CONN HEADER VERT 3POS 3MM</t>
  </si>
  <si>
    <t>in set</t>
  </si>
  <si>
    <t>G3VM-61VY3(TR05)</t>
  </si>
  <si>
    <t>SSR RELAY SPST-NO 700MA 0-60V</t>
  </si>
  <si>
    <t>FIXED IND 22UH 5.3A 28 MOHM SMD</t>
  </si>
  <si>
    <t>FIXED IND 47UH 3.8A 60 MOHM SMD</t>
  </si>
  <si>
    <t>LQH32CN220K53L</t>
  </si>
  <si>
    <t>FIXED IND 22UH 250MA 923MOHM SMD</t>
  </si>
  <si>
    <t>RES 10K OHM 1% 1/8W 0805</t>
  </si>
  <si>
    <t>RMCF0805FT10K0</t>
  </si>
  <si>
    <t>RES SMD 453K OHM 1% 1/10W 0603</t>
  </si>
  <si>
    <t>ERJ-3EKF4533V</t>
  </si>
  <si>
    <t>RES 51K OHM 1% 1/10W 0603</t>
  </si>
  <si>
    <t>CRCW060351K0FKEAC</t>
  </si>
  <si>
    <t>RES SMD 2K OHM 0.1% 1/8W 0805</t>
  </si>
  <si>
    <t>ERA-6AEB202V</t>
  </si>
  <si>
    <t>RES 10K OHM 1% 1/10W 0603</t>
  </si>
  <si>
    <t>RMCF0603FT10K0</t>
  </si>
  <si>
    <t>RES 31.6K OHM 1% 1/8W 0805</t>
  </si>
  <si>
    <t>RC0805FR-0731K6L</t>
  </si>
  <si>
    <t>RES 100K OHM 1% 1/10W 0603</t>
  </si>
  <si>
    <t>RMCF0603FT100K</t>
  </si>
  <si>
    <t>RES SMD 4.7K OHM 0.1% 1/10W 0603</t>
  </si>
  <si>
    <t>ERA-3AEB472V</t>
  </si>
  <si>
    <t>RES SMD 0 OHM JUMPER 1/8W 0805</t>
  </si>
  <si>
    <t>ERJ-6GEY0R00V</t>
  </si>
  <si>
    <t>RES 316K OHM 1% 1/10W 0603</t>
  </si>
  <si>
    <t>RMCF0603FT316K</t>
  </si>
  <si>
    <t>RES 470 OHM 1% 1/8W 0805</t>
  </si>
  <si>
    <t>RMCF0805FT470R</t>
  </si>
  <si>
    <t>RES SMD 100K OHM 0.1% 1/10W 0603</t>
  </si>
  <si>
    <t>RG1608P-104-B-T5</t>
  </si>
  <si>
    <t>RES SMD 1K OHM 1% 1/8W 0805</t>
  </si>
  <si>
    <t>CRCW08051K00FKEA</t>
  </si>
  <si>
    <t>RES SMD 330 OHM 5% 1/8W 0805</t>
  </si>
  <si>
    <t>ERJ-6GEYJ331V</t>
  </si>
  <si>
    <t>RES 0.02 OHM 1% 1/4W 0603</t>
  </si>
  <si>
    <t>MFL0603R0200FA</t>
  </si>
  <si>
    <t>IC REG BUCK ADJ 3.5A 8SOPWR</t>
  </si>
  <si>
    <t>LM5013DDAR</t>
  </si>
  <si>
    <t>IC TRANSCEIVER 4/0 16SOIC</t>
  </si>
  <si>
    <t>AM26LS31CDR</t>
  </si>
  <si>
    <t>DGTL ISOLTR 5KV 3CH GP 16-SOIC</t>
  </si>
  <si>
    <t>DC DC CONVERTER 5V 2W</t>
  </si>
  <si>
    <t>IC GATE DRVR LOW-SIDE 8SOIC</t>
  </si>
  <si>
    <t>SUM</t>
  </si>
  <si>
    <t>10127721-082LF</t>
  </si>
  <si>
    <t>66200311122</t>
  </si>
  <si>
    <t>missed (1nF)</t>
  </si>
  <si>
    <t>missed (65pF)</t>
  </si>
  <si>
    <t>need more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</si>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</sst>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horizontal="left"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horizontal="left" vertical="top"/>
    </xf>
    <xf numFmtId="0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right" vertical="top"/>
    </xf>
    <xf numFmtId="164" fontId="3" fillId="2" borderId="1" xfId="0" applyNumberFormat="1" applyFont="1" applyFill="1" applyBorder="1" applyAlignment="1">
      <alignment horizontal="right" vertical="top"/>
    </xf>
    <xf numFmtId="164" fontId="0" fillId="0" borderId="4" xfId="0" applyNumberForma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0" fontId="4" fillId="0" borderId="0" xfId="0" applyNumberFormat="1" applyFont="1" applyAlignment="1">
      <alignment vertical="top"/>
    </xf>
    <xf numFmtId="0" fontId="4" fillId="0" borderId="7" xfId="0" applyNumberFormat="1" applyFont="1" applyBorder="1" applyAlignment="1">
      <alignment horizontal="left" vertical="top"/>
    </xf>
    <xf numFmtId="0" fontId="4" fillId="0" borderId="0" xfId="0" applyFont="1">
      <alignment vertical="top" wrapText="1"/>
    </xf>
    <xf numFmtId="16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showGridLines="0" tabSelected="1" topLeftCell="A14" zoomScale="130" zoomScaleNormal="130" workbookViewId="0">
      <selection activeCell="J22" sqref="J22"/>
    </sheetView>
  </sheetViews>
  <sheetFormatPr baseColWidth="10" defaultColWidth="8.33203125" defaultRowHeight="20" customHeight="1" x14ac:dyDescent="0.15"/>
  <cols>
    <col min="1" max="1" width="30" style="1" customWidth="1"/>
    <col min="2" max="2" width="28.33203125" style="1" customWidth="1"/>
    <col min="3" max="3" width="8.1640625" style="1" customWidth="1"/>
    <col min="4" max="4" width="19.5" style="1" customWidth="1"/>
    <col min="5" max="5" width="11.1640625" style="1" customWidth="1"/>
    <col min="6" max="6" width="33.83203125" style="1" bestFit="1" customWidth="1"/>
    <col min="7" max="7" width="31" style="1" bestFit="1" customWidth="1"/>
    <col min="8" max="8" width="19.6640625" style="20" customWidth="1"/>
    <col min="9" max="9" width="8.33203125" style="1"/>
    <col min="10" max="10" width="15.83203125" style="1" customWidth="1"/>
    <col min="11" max="16384" width="8.33203125" style="1"/>
  </cols>
  <sheetData>
    <row r="1" spans="1:10" ht="27.75" customHeight="1" x14ac:dyDescent="0.15">
      <c r="A1" s="29" t="s">
        <v>0</v>
      </c>
      <c r="B1" s="29"/>
      <c r="C1" s="29"/>
      <c r="D1" s="29"/>
      <c r="E1" s="29"/>
      <c r="F1" s="29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6" t="s">
        <v>145</v>
      </c>
      <c r="G2" s="16" t="s">
        <v>142</v>
      </c>
      <c r="H2" s="21" t="s">
        <v>135</v>
      </c>
      <c r="I2" s="16" t="s">
        <v>136</v>
      </c>
      <c r="J2" s="16" t="s">
        <v>138</v>
      </c>
    </row>
    <row r="3" spans="1:10" ht="20.25" customHeight="1" x14ac:dyDescent="0.15">
      <c r="A3" s="3" t="s">
        <v>6</v>
      </c>
      <c r="B3" s="4" t="s">
        <v>7</v>
      </c>
      <c r="C3" s="5">
        <v>1</v>
      </c>
      <c r="D3" s="6" t="s">
        <v>8</v>
      </c>
      <c r="E3" s="6" t="s">
        <v>9</v>
      </c>
      <c r="F3" s="7"/>
      <c r="G3" s="18" t="s">
        <v>140</v>
      </c>
      <c r="H3" s="23">
        <v>5</v>
      </c>
      <c r="I3" s="22">
        <f t="shared" ref="I3:I11" si="0">H3*C3</f>
        <v>5</v>
      </c>
      <c r="J3" s="23" t="s">
        <v>137</v>
      </c>
    </row>
    <row r="4" spans="1:10" ht="20" customHeight="1" x14ac:dyDescent="0.15">
      <c r="A4" s="8" t="s">
        <v>10</v>
      </c>
      <c r="B4" s="9" t="s">
        <v>11</v>
      </c>
      <c r="C4" s="10">
        <v>4</v>
      </c>
      <c r="D4" s="11" t="s">
        <v>12</v>
      </c>
      <c r="E4" s="11" t="s">
        <v>13</v>
      </c>
      <c r="F4" s="12"/>
      <c r="G4" s="11" t="s">
        <v>12</v>
      </c>
      <c r="H4" s="22">
        <v>0.33</v>
      </c>
      <c r="I4" s="22">
        <f t="shared" si="0"/>
        <v>1.32</v>
      </c>
      <c r="J4" s="23" t="s">
        <v>139</v>
      </c>
    </row>
    <row r="5" spans="1:10" ht="20" customHeight="1" x14ac:dyDescent="0.15">
      <c r="A5" s="8" t="s">
        <v>14</v>
      </c>
      <c r="B5" s="13">
        <v>805</v>
      </c>
      <c r="C5" s="10">
        <v>4</v>
      </c>
      <c r="D5" s="24" t="s">
        <v>146</v>
      </c>
      <c r="E5" s="11" t="s">
        <v>15</v>
      </c>
      <c r="F5" s="17" t="s">
        <v>149</v>
      </c>
      <c r="G5" s="25" t="s">
        <v>141</v>
      </c>
      <c r="H5" s="22">
        <v>0.22</v>
      </c>
      <c r="I5" s="22">
        <f t="shared" si="0"/>
        <v>0.88</v>
      </c>
      <c r="J5" s="22" t="s">
        <v>137</v>
      </c>
    </row>
    <row r="6" spans="1:10" ht="20" customHeight="1" x14ac:dyDescent="0.15">
      <c r="A6" s="8" t="s">
        <v>16</v>
      </c>
      <c r="B6" s="13">
        <v>603</v>
      </c>
      <c r="C6" s="10">
        <v>2</v>
      </c>
      <c r="D6" s="11" t="s">
        <v>17</v>
      </c>
      <c r="E6" s="11" t="s">
        <v>18</v>
      </c>
      <c r="F6" s="17" t="s">
        <v>149</v>
      </c>
      <c r="G6" s="18" t="s">
        <v>133</v>
      </c>
      <c r="H6" s="23" t="s">
        <v>134</v>
      </c>
      <c r="I6" s="22">
        <f t="shared" si="0"/>
        <v>0.14000000000000001</v>
      </c>
      <c r="J6" s="23" t="s">
        <v>139</v>
      </c>
    </row>
    <row r="7" spans="1:10" ht="20" customHeight="1" x14ac:dyDescent="0.15">
      <c r="A7" s="8" t="s">
        <v>19</v>
      </c>
      <c r="B7" s="13">
        <v>603</v>
      </c>
      <c r="C7" s="10">
        <v>2</v>
      </c>
      <c r="D7" s="11" t="s">
        <v>20</v>
      </c>
      <c r="E7" s="11" t="s">
        <v>21</v>
      </c>
      <c r="F7" s="17" t="s">
        <v>158</v>
      </c>
      <c r="G7" s="7" t="s">
        <v>161</v>
      </c>
      <c r="H7" s="22">
        <v>4.9000000000000002E-2</v>
      </c>
      <c r="I7" s="22">
        <f t="shared" si="0"/>
        <v>9.8000000000000004E-2</v>
      </c>
      <c r="J7" s="23" t="s">
        <v>228</v>
      </c>
    </row>
    <row r="8" spans="1:10" ht="20" customHeight="1" x14ac:dyDescent="0.15">
      <c r="A8" s="8" t="s">
        <v>22</v>
      </c>
      <c r="B8" s="13">
        <v>603</v>
      </c>
      <c r="C8" s="10">
        <v>1</v>
      </c>
      <c r="D8" s="11" t="s">
        <v>23</v>
      </c>
      <c r="E8" s="14"/>
      <c r="F8" s="17" t="s">
        <v>147</v>
      </c>
      <c r="G8" s="18" t="s">
        <v>143</v>
      </c>
      <c r="H8" s="22">
        <v>0.15</v>
      </c>
      <c r="I8" s="22">
        <f t="shared" si="0"/>
        <v>0.15</v>
      </c>
      <c r="J8" s="23" t="s">
        <v>229</v>
      </c>
    </row>
    <row r="9" spans="1:10" ht="20" customHeight="1" x14ac:dyDescent="0.15">
      <c r="A9" s="8" t="s">
        <v>24</v>
      </c>
      <c r="B9" s="13">
        <v>805</v>
      </c>
      <c r="C9" s="10">
        <v>4</v>
      </c>
      <c r="D9" s="11" t="s">
        <v>25</v>
      </c>
      <c r="E9" s="14"/>
      <c r="F9" s="17" t="s">
        <v>148</v>
      </c>
      <c r="G9" s="25" t="s">
        <v>144</v>
      </c>
      <c r="H9" s="22">
        <v>5.5E-2</v>
      </c>
      <c r="I9" s="22">
        <f t="shared" si="0"/>
        <v>0.22</v>
      </c>
      <c r="J9" s="23" t="s">
        <v>139</v>
      </c>
    </row>
    <row r="10" spans="1:10" ht="20" customHeight="1" x14ac:dyDescent="0.15">
      <c r="A10" s="8" t="s">
        <v>26</v>
      </c>
      <c r="B10" s="13">
        <v>603</v>
      </c>
      <c r="C10" s="10">
        <v>23</v>
      </c>
      <c r="D10" s="11" t="s">
        <v>27</v>
      </c>
      <c r="E10" s="14"/>
      <c r="F10" s="12"/>
      <c r="G10" s="7" t="s">
        <v>150</v>
      </c>
      <c r="H10" s="22">
        <v>1.2E-2</v>
      </c>
      <c r="I10" s="22">
        <f t="shared" si="0"/>
        <v>0.27600000000000002</v>
      </c>
      <c r="J10" s="23" t="s">
        <v>230</v>
      </c>
    </row>
    <row r="11" spans="1:10" ht="20" customHeight="1" x14ac:dyDescent="0.15">
      <c r="A11" s="8" t="s">
        <v>28</v>
      </c>
      <c r="B11" s="13">
        <v>603</v>
      </c>
      <c r="C11" s="10">
        <v>8</v>
      </c>
      <c r="D11" s="11" t="s">
        <v>29</v>
      </c>
      <c r="E11" s="14"/>
      <c r="F11" s="12"/>
      <c r="G11" s="7" t="s">
        <v>151</v>
      </c>
      <c r="H11" s="22">
        <v>6.0000000000000001E-3</v>
      </c>
      <c r="I11" s="22">
        <f t="shared" si="0"/>
        <v>4.8000000000000001E-2</v>
      </c>
      <c r="J11" s="23" t="s">
        <v>139</v>
      </c>
    </row>
    <row r="12" spans="1:10" ht="20" customHeight="1" x14ac:dyDescent="0.15">
      <c r="A12" s="8" t="s">
        <v>30</v>
      </c>
      <c r="B12" s="13">
        <v>805</v>
      </c>
      <c r="C12" s="10">
        <v>1</v>
      </c>
      <c r="D12" s="11" t="s">
        <v>31</v>
      </c>
      <c r="E12" s="11" t="s">
        <v>15</v>
      </c>
      <c r="F12" s="12"/>
      <c r="G12" s="17" t="s">
        <v>152</v>
      </c>
      <c r="H12" s="22" t="s">
        <v>153</v>
      </c>
      <c r="I12" s="22">
        <f t="shared" ref="I12:I28" si="1">H12*C12</f>
        <v>0.12</v>
      </c>
      <c r="J12" s="23" t="s">
        <v>137</v>
      </c>
    </row>
    <row r="13" spans="1:10" ht="20" customHeight="1" x14ac:dyDescent="0.15">
      <c r="A13" s="8" t="s">
        <v>32</v>
      </c>
      <c r="B13" s="13">
        <v>805</v>
      </c>
      <c r="C13" s="10">
        <v>1</v>
      </c>
      <c r="D13" s="11" t="s">
        <v>27</v>
      </c>
      <c r="E13" s="11" t="s">
        <v>18</v>
      </c>
      <c r="F13" s="12"/>
      <c r="G13" s="12" t="s">
        <v>154</v>
      </c>
      <c r="H13" s="22">
        <v>1.4999999999999999E-2</v>
      </c>
      <c r="I13" s="22">
        <f t="shared" si="1"/>
        <v>1.4999999999999999E-2</v>
      </c>
      <c r="J13" s="23" t="s">
        <v>139</v>
      </c>
    </row>
    <row r="14" spans="1:10" ht="20" customHeight="1" x14ac:dyDescent="0.15">
      <c r="A14" s="8" t="s">
        <v>33</v>
      </c>
      <c r="B14" s="13">
        <v>603</v>
      </c>
      <c r="C14" s="10">
        <v>1</v>
      </c>
      <c r="D14" s="11" t="s">
        <v>34</v>
      </c>
      <c r="E14" s="14"/>
      <c r="F14" s="12"/>
      <c r="G14" s="12" t="s">
        <v>155</v>
      </c>
      <c r="H14" s="22">
        <v>3.5000000000000003E-2</v>
      </c>
      <c r="I14" s="22">
        <f t="shared" si="1"/>
        <v>3.5000000000000003E-2</v>
      </c>
      <c r="J14" s="23" t="s">
        <v>139</v>
      </c>
    </row>
    <row r="15" spans="1:10" ht="20" customHeight="1" x14ac:dyDescent="0.15">
      <c r="A15" s="8" t="s">
        <v>35</v>
      </c>
      <c r="B15" s="13">
        <v>603</v>
      </c>
      <c r="C15" s="10">
        <v>3</v>
      </c>
      <c r="D15" s="11" t="s">
        <v>36</v>
      </c>
      <c r="E15" s="14"/>
      <c r="F15" s="17" t="s">
        <v>156</v>
      </c>
      <c r="G15" s="12" t="s">
        <v>157</v>
      </c>
      <c r="H15" s="22">
        <v>7.5999999999999998E-2</v>
      </c>
      <c r="I15" s="22">
        <f t="shared" si="1"/>
        <v>0.22799999999999998</v>
      </c>
      <c r="J15" s="23" t="s">
        <v>139</v>
      </c>
    </row>
    <row r="16" spans="1:10" ht="20" customHeight="1" x14ac:dyDescent="0.15">
      <c r="A16" s="8" t="s">
        <v>37</v>
      </c>
      <c r="B16" s="13">
        <v>603</v>
      </c>
      <c r="C16" s="10">
        <v>1</v>
      </c>
      <c r="D16" s="11" t="s">
        <v>38</v>
      </c>
      <c r="E16" s="14"/>
      <c r="F16" s="17" t="s">
        <v>159</v>
      </c>
      <c r="G16" s="12" t="s">
        <v>160</v>
      </c>
      <c r="H16" s="22">
        <v>3.7999999999999999E-2</v>
      </c>
      <c r="I16" s="22">
        <f t="shared" si="1"/>
        <v>3.7999999999999999E-2</v>
      </c>
      <c r="J16" s="23" t="s">
        <v>139</v>
      </c>
    </row>
    <row r="17" spans="1:10" ht="20" customHeight="1" x14ac:dyDescent="0.15">
      <c r="A17" s="8" t="s">
        <v>39</v>
      </c>
      <c r="B17" s="9" t="s">
        <v>40</v>
      </c>
      <c r="C17" s="10">
        <v>2</v>
      </c>
      <c r="D17" s="11" t="s">
        <v>41</v>
      </c>
      <c r="E17" s="14"/>
      <c r="F17" s="12"/>
      <c r="G17" s="12" t="s">
        <v>41</v>
      </c>
      <c r="H17" s="23">
        <v>0.4</v>
      </c>
      <c r="I17" s="22">
        <f t="shared" si="1"/>
        <v>0.8</v>
      </c>
      <c r="J17" s="23" t="s">
        <v>139</v>
      </c>
    </row>
    <row r="18" spans="1:10" ht="20" customHeight="1" x14ac:dyDescent="0.15">
      <c r="A18" s="8" t="s">
        <v>42</v>
      </c>
      <c r="B18" s="9" t="s">
        <v>43</v>
      </c>
      <c r="C18" s="10">
        <v>15</v>
      </c>
      <c r="D18" s="24" t="s">
        <v>44</v>
      </c>
      <c r="E18" s="11" t="s">
        <v>45</v>
      </c>
      <c r="F18" s="12" t="s">
        <v>162</v>
      </c>
      <c r="G18" s="17" t="s">
        <v>163</v>
      </c>
      <c r="H18" s="22">
        <v>0.21</v>
      </c>
      <c r="I18" s="22">
        <f t="shared" si="1"/>
        <v>3.15</v>
      </c>
      <c r="J18" s="23" t="s">
        <v>139</v>
      </c>
    </row>
    <row r="19" spans="1:10" ht="20" customHeight="1" x14ac:dyDescent="0.15">
      <c r="A19" s="8" t="s">
        <v>47</v>
      </c>
      <c r="B19" s="27" t="s">
        <v>164</v>
      </c>
      <c r="C19" s="10">
        <v>2</v>
      </c>
      <c r="D19" s="11" t="s">
        <v>48</v>
      </c>
      <c r="E19" s="11" t="s">
        <v>49</v>
      </c>
      <c r="F19" s="12"/>
      <c r="G19" s="17" t="s">
        <v>165</v>
      </c>
      <c r="H19" s="22">
        <v>0.28999999999999998</v>
      </c>
      <c r="I19" s="22">
        <f t="shared" si="1"/>
        <v>0.57999999999999996</v>
      </c>
      <c r="J19" s="23" t="s">
        <v>139</v>
      </c>
    </row>
    <row r="20" spans="1:10" ht="20" customHeight="1" x14ac:dyDescent="0.15">
      <c r="A20" s="8" t="s">
        <v>50</v>
      </c>
      <c r="B20" s="9" t="s">
        <v>51</v>
      </c>
      <c r="C20" s="10">
        <v>3</v>
      </c>
      <c r="D20" s="11" t="s">
        <v>46</v>
      </c>
      <c r="E20" s="11" t="s">
        <v>45</v>
      </c>
      <c r="F20" s="17" t="s">
        <v>166</v>
      </c>
      <c r="G20" s="12" t="s">
        <v>167</v>
      </c>
      <c r="H20" s="22">
        <v>0.19800000000000001</v>
      </c>
      <c r="I20" s="22">
        <f t="shared" si="1"/>
        <v>0.59400000000000008</v>
      </c>
      <c r="J20" s="23" t="s">
        <v>139</v>
      </c>
    </row>
    <row r="21" spans="1:10" ht="20" customHeight="1" x14ac:dyDescent="0.15">
      <c r="A21" s="8" t="s">
        <v>52</v>
      </c>
      <c r="B21" s="13">
        <v>805</v>
      </c>
      <c r="C21" s="10">
        <v>7</v>
      </c>
      <c r="D21" s="11" t="s">
        <v>53</v>
      </c>
      <c r="E21" s="11" t="s">
        <v>54</v>
      </c>
      <c r="F21" s="17" t="s">
        <v>169</v>
      </c>
      <c r="G21" s="17" t="s">
        <v>168</v>
      </c>
      <c r="H21" s="22">
        <v>7.5999999999999998E-2</v>
      </c>
      <c r="I21" s="22">
        <f t="shared" si="1"/>
        <v>0.53200000000000003</v>
      </c>
      <c r="J21" s="23" t="s">
        <v>231</v>
      </c>
    </row>
    <row r="22" spans="1:10" ht="20" customHeight="1" x14ac:dyDescent="0.15">
      <c r="A22" s="8" t="s">
        <v>55</v>
      </c>
      <c r="B22" s="13">
        <v>805</v>
      </c>
      <c r="C22" s="10">
        <v>2</v>
      </c>
      <c r="D22" s="11" t="s">
        <v>56</v>
      </c>
      <c r="E22" s="14"/>
      <c r="F22" s="12" t="s">
        <v>170</v>
      </c>
      <c r="G22" s="1" t="s">
        <v>173</v>
      </c>
      <c r="H22" s="22">
        <v>6.3E-2</v>
      </c>
      <c r="I22" s="22">
        <f t="shared" si="1"/>
        <v>0.126</v>
      </c>
      <c r="J22" s="23" t="s">
        <v>139</v>
      </c>
    </row>
    <row r="23" spans="1:10" ht="20" customHeight="1" x14ac:dyDescent="0.15">
      <c r="A23" s="8" t="s">
        <v>57</v>
      </c>
      <c r="B23" s="13">
        <v>603</v>
      </c>
      <c r="C23" s="10">
        <v>6</v>
      </c>
      <c r="D23" s="11" t="s">
        <v>56</v>
      </c>
      <c r="E23" s="14"/>
      <c r="F23" s="12" t="s">
        <v>171</v>
      </c>
      <c r="G23" s="12" t="s">
        <v>172</v>
      </c>
      <c r="H23" s="22">
        <v>5.2999999999999999E-2</v>
      </c>
      <c r="I23" s="22">
        <f t="shared" si="1"/>
        <v>0.318</v>
      </c>
      <c r="J23" s="23" t="s">
        <v>139</v>
      </c>
    </row>
    <row r="24" spans="1:10" ht="20" customHeight="1" x14ac:dyDescent="0.15">
      <c r="A24" s="8" t="s">
        <v>58</v>
      </c>
      <c r="B24" s="9" t="s">
        <v>59</v>
      </c>
      <c r="C24" s="10">
        <v>5</v>
      </c>
      <c r="D24" s="15">
        <v>430450828</v>
      </c>
      <c r="E24" s="11" t="s">
        <v>60</v>
      </c>
      <c r="F24" s="26" t="s">
        <v>226</v>
      </c>
      <c r="G24" s="12" t="s">
        <v>174</v>
      </c>
      <c r="H24" s="22">
        <v>0.40799999999999997</v>
      </c>
      <c r="I24" s="22">
        <f t="shared" si="1"/>
        <v>2.04</v>
      </c>
      <c r="J24" s="23" t="s">
        <v>139</v>
      </c>
    </row>
    <row r="25" spans="1:10" ht="20" customHeight="1" x14ac:dyDescent="0.15">
      <c r="A25" s="8" t="s">
        <v>61</v>
      </c>
      <c r="B25" s="9" t="s">
        <v>62</v>
      </c>
      <c r="C25" s="10">
        <v>5</v>
      </c>
      <c r="D25" s="11" t="s">
        <v>63</v>
      </c>
      <c r="E25" s="11" t="s">
        <v>64</v>
      </c>
      <c r="F25" s="12" t="s">
        <v>175</v>
      </c>
      <c r="G25" s="12" t="s">
        <v>179</v>
      </c>
      <c r="H25" s="22">
        <v>4.2999999999999997E-2</v>
      </c>
      <c r="I25" s="22">
        <f t="shared" si="1"/>
        <v>0.21499999999999997</v>
      </c>
      <c r="J25" s="23" t="s">
        <v>139</v>
      </c>
    </row>
    <row r="26" spans="1:10" ht="20" customHeight="1" x14ac:dyDescent="0.15">
      <c r="A26" s="8" t="s">
        <v>65</v>
      </c>
      <c r="B26" s="9" t="s">
        <v>62</v>
      </c>
      <c r="C26" s="10">
        <v>1</v>
      </c>
      <c r="D26" s="11" t="s">
        <v>66</v>
      </c>
      <c r="E26" s="11" t="s">
        <v>64</v>
      </c>
      <c r="F26" s="12" t="s">
        <v>175</v>
      </c>
      <c r="G26" s="12" t="s">
        <v>179</v>
      </c>
      <c r="H26" s="22">
        <v>0.04</v>
      </c>
      <c r="I26" s="22">
        <f t="shared" si="1"/>
        <v>0.04</v>
      </c>
      <c r="J26" s="23" t="s">
        <v>139</v>
      </c>
    </row>
    <row r="27" spans="1:10" ht="20" customHeight="1" x14ac:dyDescent="0.15">
      <c r="A27" s="8" t="s">
        <v>67</v>
      </c>
      <c r="B27" s="9" t="s">
        <v>68</v>
      </c>
      <c r="C27" s="10">
        <v>1</v>
      </c>
      <c r="D27" s="11" t="s">
        <v>69</v>
      </c>
      <c r="E27" s="11" t="s">
        <v>64</v>
      </c>
      <c r="F27" s="12" t="s">
        <v>176</v>
      </c>
      <c r="G27" s="12" t="s">
        <v>178</v>
      </c>
      <c r="H27" s="22">
        <v>0.11</v>
      </c>
      <c r="I27" s="22">
        <f t="shared" si="1"/>
        <v>0.11</v>
      </c>
      <c r="J27" s="23" t="s">
        <v>139</v>
      </c>
    </row>
    <row r="28" spans="1:10" ht="20" customHeight="1" x14ac:dyDescent="0.15">
      <c r="A28" s="8" t="s">
        <v>70</v>
      </c>
      <c r="B28" s="9" t="s">
        <v>71</v>
      </c>
      <c r="C28" s="10">
        <v>6</v>
      </c>
      <c r="D28" s="11" t="s">
        <v>72</v>
      </c>
      <c r="E28" s="11" t="s">
        <v>64</v>
      </c>
      <c r="F28" s="12" t="s">
        <v>175</v>
      </c>
      <c r="G28" s="12" t="s">
        <v>177</v>
      </c>
      <c r="H28" s="22">
        <v>4.4999999999999998E-2</v>
      </c>
      <c r="I28" s="22">
        <f t="shared" si="1"/>
        <v>0.27</v>
      </c>
      <c r="J28" s="23" t="s">
        <v>139</v>
      </c>
    </row>
    <row r="29" spans="1:10" ht="20" customHeight="1" x14ac:dyDescent="0.15">
      <c r="A29" s="8" t="s">
        <v>73</v>
      </c>
      <c r="B29" s="9" t="s">
        <v>74</v>
      </c>
      <c r="C29" s="10">
        <v>6</v>
      </c>
      <c r="D29" s="15">
        <v>436500328</v>
      </c>
      <c r="E29" s="11" t="s">
        <v>75</v>
      </c>
      <c r="F29" s="12" t="s">
        <v>180</v>
      </c>
      <c r="G29" s="12" t="s">
        <v>227</v>
      </c>
      <c r="H29" s="22">
        <v>0.27400000000000002</v>
      </c>
      <c r="I29" s="22">
        <f t="shared" ref="I29:I55" si="2">H29*C29</f>
        <v>1.6440000000000001</v>
      </c>
      <c r="J29" s="23" t="s">
        <v>139</v>
      </c>
    </row>
    <row r="30" spans="1:10" ht="20" customHeight="1" x14ac:dyDescent="0.15">
      <c r="A30" s="8" t="s">
        <v>76</v>
      </c>
      <c r="B30" s="9" t="s">
        <v>77</v>
      </c>
      <c r="C30" s="10">
        <v>3</v>
      </c>
      <c r="D30" s="11" t="s">
        <v>78</v>
      </c>
      <c r="E30" s="14"/>
      <c r="F30" s="17" t="s">
        <v>181</v>
      </c>
      <c r="G30" s="12"/>
      <c r="H30" s="22"/>
      <c r="I30" s="22">
        <f t="shared" si="2"/>
        <v>0</v>
      </c>
      <c r="J30" s="23" t="s">
        <v>137</v>
      </c>
    </row>
    <row r="31" spans="1:10" ht="20" customHeight="1" x14ac:dyDescent="0.15">
      <c r="A31" s="8" t="s">
        <v>79</v>
      </c>
      <c r="B31" s="9" t="s">
        <v>80</v>
      </c>
      <c r="C31" s="10">
        <v>3</v>
      </c>
      <c r="D31" s="11" t="s">
        <v>81</v>
      </c>
      <c r="E31" s="14"/>
      <c r="F31" s="12" t="s">
        <v>183</v>
      </c>
      <c r="G31" s="12" t="s">
        <v>182</v>
      </c>
      <c r="H31" s="22">
        <v>1.28</v>
      </c>
      <c r="I31" s="22">
        <f t="shared" si="2"/>
        <v>3.84</v>
      </c>
      <c r="J31" s="23" t="s">
        <v>139</v>
      </c>
    </row>
    <row r="32" spans="1:10" ht="20" customHeight="1" x14ac:dyDescent="0.15">
      <c r="A32" s="8" t="s">
        <v>82</v>
      </c>
      <c r="B32" s="9" t="s">
        <v>83</v>
      </c>
      <c r="C32" s="10">
        <v>1</v>
      </c>
      <c r="D32" s="10">
        <v>7447709220</v>
      </c>
      <c r="E32" s="14"/>
      <c r="F32" s="12" t="s">
        <v>184</v>
      </c>
      <c r="G32" s="12"/>
      <c r="H32" s="22">
        <v>2.21</v>
      </c>
      <c r="I32" s="22">
        <f t="shared" si="2"/>
        <v>2.21</v>
      </c>
      <c r="J32" s="23" t="s">
        <v>139</v>
      </c>
    </row>
    <row r="33" spans="1:10" ht="20" customHeight="1" x14ac:dyDescent="0.15">
      <c r="A33" s="8" t="s">
        <v>84</v>
      </c>
      <c r="B33" s="9" t="s">
        <v>83</v>
      </c>
      <c r="C33" s="10">
        <v>1</v>
      </c>
      <c r="D33" s="10">
        <v>7447709470</v>
      </c>
      <c r="E33" s="14"/>
      <c r="F33" s="17" t="s">
        <v>185</v>
      </c>
      <c r="G33" s="12"/>
      <c r="H33" s="22">
        <v>2.21</v>
      </c>
      <c r="I33" s="22">
        <f t="shared" si="2"/>
        <v>2.21</v>
      </c>
      <c r="J33" s="23" t="s">
        <v>139</v>
      </c>
    </row>
    <row r="34" spans="1:10" ht="20" customHeight="1" x14ac:dyDescent="0.15">
      <c r="A34" s="8" t="s">
        <v>85</v>
      </c>
      <c r="B34" s="13">
        <v>1210</v>
      </c>
      <c r="C34" s="10">
        <v>1</v>
      </c>
      <c r="D34" s="11" t="s">
        <v>86</v>
      </c>
      <c r="E34" s="14"/>
      <c r="F34" s="12" t="s">
        <v>187</v>
      </c>
      <c r="G34" s="12" t="s">
        <v>186</v>
      </c>
      <c r="H34" s="22">
        <v>0.2</v>
      </c>
      <c r="I34" s="22">
        <f t="shared" si="2"/>
        <v>0.2</v>
      </c>
      <c r="J34" s="23" t="s">
        <v>139</v>
      </c>
    </row>
    <row r="35" spans="1:10" ht="20" customHeight="1" x14ac:dyDescent="0.15">
      <c r="A35" s="8" t="s">
        <v>87</v>
      </c>
      <c r="B35" s="13">
        <v>805</v>
      </c>
      <c r="C35" s="10">
        <v>2</v>
      </c>
      <c r="D35" s="11" t="s">
        <v>88</v>
      </c>
      <c r="E35" s="14"/>
      <c r="F35" s="12" t="s">
        <v>188</v>
      </c>
      <c r="G35" s="12" t="s">
        <v>189</v>
      </c>
      <c r="H35" s="22">
        <v>2.1000000000000001E-2</v>
      </c>
      <c r="I35" s="22">
        <f t="shared" si="2"/>
        <v>4.2000000000000003E-2</v>
      </c>
      <c r="J35" s="23" t="s">
        <v>139</v>
      </c>
    </row>
    <row r="36" spans="1:10" ht="20" customHeight="1" x14ac:dyDescent="0.15">
      <c r="A36" s="8" t="s">
        <v>89</v>
      </c>
      <c r="B36" s="13">
        <v>603</v>
      </c>
      <c r="C36" s="10">
        <v>1</v>
      </c>
      <c r="D36" s="11" t="s">
        <v>90</v>
      </c>
      <c r="E36" s="14"/>
      <c r="F36" s="12" t="s">
        <v>190</v>
      </c>
      <c r="G36" s="12" t="s">
        <v>191</v>
      </c>
      <c r="H36" s="22">
        <v>2.9000000000000001E-2</v>
      </c>
      <c r="I36" s="22">
        <f t="shared" si="2"/>
        <v>2.9000000000000001E-2</v>
      </c>
      <c r="J36" s="23" t="s">
        <v>139</v>
      </c>
    </row>
    <row r="37" spans="1:10" ht="20" customHeight="1" x14ac:dyDescent="0.15">
      <c r="A37" s="8" t="s">
        <v>91</v>
      </c>
      <c r="B37" s="13">
        <v>603</v>
      </c>
      <c r="C37" s="10">
        <v>1</v>
      </c>
      <c r="D37" s="11" t="s">
        <v>92</v>
      </c>
      <c r="E37" s="14"/>
      <c r="F37" s="12" t="s">
        <v>192</v>
      </c>
      <c r="G37" s="12" t="s">
        <v>193</v>
      </c>
      <c r="H37" s="22">
        <v>2.5000000000000001E-2</v>
      </c>
      <c r="I37" s="22">
        <f t="shared" si="2"/>
        <v>2.5000000000000001E-2</v>
      </c>
      <c r="J37" s="23" t="s">
        <v>139</v>
      </c>
    </row>
    <row r="38" spans="1:10" ht="20" customHeight="1" x14ac:dyDescent="0.15">
      <c r="A38" s="8" t="s">
        <v>93</v>
      </c>
      <c r="B38" s="13">
        <v>805</v>
      </c>
      <c r="C38" s="10">
        <v>1</v>
      </c>
      <c r="D38" s="11" t="s">
        <v>94</v>
      </c>
      <c r="E38" s="14"/>
      <c r="F38" s="12" t="s">
        <v>194</v>
      </c>
      <c r="G38" s="12" t="s">
        <v>195</v>
      </c>
      <c r="H38" s="22">
        <v>2.5000000000000001E-2</v>
      </c>
      <c r="I38" s="22">
        <f t="shared" si="2"/>
        <v>2.5000000000000001E-2</v>
      </c>
      <c r="J38" s="23" t="s">
        <v>139</v>
      </c>
    </row>
    <row r="39" spans="1:10" ht="20" customHeight="1" x14ac:dyDescent="0.15">
      <c r="A39" s="8" t="s">
        <v>95</v>
      </c>
      <c r="B39" s="13">
        <v>603</v>
      </c>
      <c r="C39" s="10">
        <v>18</v>
      </c>
      <c r="D39" s="11" t="s">
        <v>88</v>
      </c>
      <c r="E39" s="14"/>
      <c r="F39" s="12" t="s">
        <v>196</v>
      </c>
      <c r="G39" s="12" t="s">
        <v>197</v>
      </c>
      <c r="H39" s="22">
        <v>1.12E-2</v>
      </c>
      <c r="I39" s="22">
        <f t="shared" si="2"/>
        <v>0.2016</v>
      </c>
      <c r="J39" s="23" t="s">
        <v>139</v>
      </c>
    </row>
    <row r="40" spans="1:10" ht="20" customHeight="1" x14ac:dyDescent="0.15">
      <c r="A40" s="8" t="s">
        <v>96</v>
      </c>
      <c r="B40" s="13">
        <v>805</v>
      </c>
      <c r="C40" s="10">
        <v>2</v>
      </c>
      <c r="D40" s="11" t="s">
        <v>97</v>
      </c>
      <c r="E40" s="14"/>
      <c r="F40" s="12" t="s">
        <v>198</v>
      </c>
      <c r="G40" s="12" t="s">
        <v>199</v>
      </c>
      <c r="H40" s="22">
        <v>0.01</v>
      </c>
      <c r="I40" s="22">
        <f t="shared" si="2"/>
        <v>0.02</v>
      </c>
      <c r="J40" s="23" t="s">
        <v>139</v>
      </c>
    </row>
    <row r="41" spans="1:10" ht="20" customHeight="1" x14ac:dyDescent="0.15">
      <c r="A41" s="8" t="s">
        <v>98</v>
      </c>
      <c r="B41" s="13">
        <v>603</v>
      </c>
      <c r="C41" s="10">
        <v>2</v>
      </c>
      <c r="D41" s="11" t="s">
        <v>99</v>
      </c>
      <c r="E41" s="14"/>
      <c r="F41" s="12" t="s">
        <v>200</v>
      </c>
      <c r="G41" s="12" t="s">
        <v>201</v>
      </c>
      <c r="H41" s="22">
        <v>1.2999999999999999E-2</v>
      </c>
      <c r="I41" s="22">
        <f t="shared" si="2"/>
        <v>2.5999999999999999E-2</v>
      </c>
      <c r="J41" s="23" t="s">
        <v>139</v>
      </c>
    </row>
    <row r="42" spans="1:10" ht="20" customHeight="1" x14ac:dyDescent="0.15">
      <c r="A42" s="8" t="s">
        <v>100</v>
      </c>
      <c r="B42" s="13">
        <v>603</v>
      </c>
      <c r="C42" s="10">
        <v>3</v>
      </c>
      <c r="D42" s="11" t="s">
        <v>101</v>
      </c>
      <c r="E42" s="14"/>
      <c r="F42" s="12" t="s">
        <v>202</v>
      </c>
      <c r="G42" s="12" t="s">
        <v>203</v>
      </c>
      <c r="H42" s="22">
        <v>5.1999999999999998E-2</v>
      </c>
      <c r="I42" s="22">
        <f t="shared" si="2"/>
        <v>0.156</v>
      </c>
      <c r="J42" s="23" t="s">
        <v>139</v>
      </c>
    </row>
    <row r="43" spans="1:10" ht="20" customHeight="1" x14ac:dyDescent="0.15">
      <c r="A43" s="8" t="s">
        <v>102</v>
      </c>
      <c r="B43" s="13">
        <v>805</v>
      </c>
      <c r="C43" s="10">
        <v>3</v>
      </c>
      <c r="D43" s="11" t="s">
        <v>103</v>
      </c>
      <c r="E43" s="14"/>
      <c r="F43" s="12" t="s">
        <v>204</v>
      </c>
      <c r="G43" s="12" t="s">
        <v>205</v>
      </c>
      <c r="H43" s="22">
        <v>2.4E-2</v>
      </c>
      <c r="I43" s="22">
        <f t="shared" si="2"/>
        <v>7.2000000000000008E-2</v>
      </c>
      <c r="J43" s="23" t="s">
        <v>139</v>
      </c>
    </row>
    <row r="44" spans="1:10" ht="20" customHeight="1" x14ac:dyDescent="0.15">
      <c r="A44" s="8" t="s">
        <v>104</v>
      </c>
      <c r="B44" s="13">
        <v>805</v>
      </c>
      <c r="C44" s="10">
        <v>3</v>
      </c>
      <c r="D44" s="15">
        <v>100</v>
      </c>
      <c r="E44" s="14"/>
      <c r="F44" s="12"/>
      <c r="G44" s="12"/>
      <c r="H44" s="22"/>
      <c r="I44" s="22">
        <f t="shared" si="2"/>
        <v>0</v>
      </c>
      <c r="J44" s="23" t="s">
        <v>137</v>
      </c>
    </row>
    <row r="45" spans="1:10" ht="20" customHeight="1" x14ac:dyDescent="0.15">
      <c r="A45" s="8" t="s">
        <v>105</v>
      </c>
      <c r="B45" s="13">
        <v>603</v>
      </c>
      <c r="C45" s="10">
        <v>1</v>
      </c>
      <c r="D45" s="11" t="s">
        <v>106</v>
      </c>
      <c r="E45" s="14"/>
      <c r="F45" s="12" t="s">
        <v>206</v>
      </c>
      <c r="G45" s="12" t="s">
        <v>207</v>
      </c>
      <c r="H45" s="22">
        <v>1.2999999999999999E-2</v>
      </c>
      <c r="I45" s="22">
        <f t="shared" si="2"/>
        <v>1.2999999999999999E-2</v>
      </c>
      <c r="J45" s="23" t="s">
        <v>139</v>
      </c>
    </row>
    <row r="46" spans="1:10" ht="20" customHeight="1" x14ac:dyDescent="0.15">
      <c r="A46" s="8" t="s">
        <v>107</v>
      </c>
      <c r="B46" s="13">
        <v>805</v>
      </c>
      <c r="C46" s="10">
        <v>3</v>
      </c>
      <c r="D46" s="15">
        <v>470</v>
      </c>
      <c r="E46" s="14"/>
      <c r="F46" s="12" t="s">
        <v>208</v>
      </c>
      <c r="G46" s="12" t="s">
        <v>209</v>
      </c>
      <c r="H46" s="22">
        <v>2.1000000000000001E-2</v>
      </c>
      <c r="I46" s="22">
        <f t="shared" si="2"/>
        <v>6.3E-2</v>
      </c>
      <c r="J46" s="23" t="s">
        <v>139</v>
      </c>
    </row>
    <row r="47" spans="1:10" ht="20" customHeight="1" x14ac:dyDescent="0.15">
      <c r="A47" s="8" t="s">
        <v>108</v>
      </c>
      <c r="B47" s="13">
        <v>805</v>
      </c>
      <c r="C47" s="10">
        <v>3</v>
      </c>
      <c r="D47" s="11" t="s">
        <v>109</v>
      </c>
      <c r="E47" s="14"/>
      <c r="F47" s="12" t="s">
        <v>212</v>
      </c>
      <c r="G47" s="12" t="s">
        <v>213</v>
      </c>
      <c r="H47" s="22">
        <v>3.5000000000000003E-2</v>
      </c>
      <c r="I47" s="22">
        <f t="shared" si="2"/>
        <v>0.10500000000000001</v>
      </c>
      <c r="J47" s="23" t="s">
        <v>139</v>
      </c>
    </row>
    <row r="48" spans="1:10" ht="20" customHeight="1" x14ac:dyDescent="0.15">
      <c r="A48" s="8" t="s">
        <v>110</v>
      </c>
      <c r="B48" s="13">
        <v>603</v>
      </c>
      <c r="C48" s="10">
        <v>1</v>
      </c>
      <c r="D48" s="11" t="s">
        <v>111</v>
      </c>
      <c r="E48" s="14"/>
      <c r="F48" s="12" t="s">
        <v>210</v>
      </c>
      <c r="G48" s="12" t="s">
        <v>211</v>
      </c>
      <c r="H48" s="22">
        <v>5.8999999999999997E-2</v>
      </c>
      <c r="I48" s="22">
        <f t="shared" si="2"/>
        <v>5.8999999999999997E-2</v>
      </c>
      <c r="J48" s="23" t="s">
        <v>139</v>
      </c>
    </row>
    <row r="49" spans="1:10" ht="20" customHeight="1" x14ac:dyDescent="0.15">
      <c r="A49" s="8" t="s">
        <v>112</v>
      </c>
      <c r="B49" s="13">
        <v>805</v>
      </c>
      <c r="C49" s="10">
        <v>1</v>
      </c>
      <c r="D49" s="15">
        <v>330</v>
      </c>
      <c r="E49" s="14"/>
      <c r="F49" s="12" t="s">
        <v>214</v>
      </c>
      <c r="G49" s="12" t="s">
        <v>215</v>
      </c>
      <c r="H49" s="22">
        <v>3.5000000000000003E-2</v>
      </c>
      <c r="I49" s="22">
        <f t="shared" si="2"/>
        <v>3.5000000000000003E-2</v>
      </c>
      <c r="J49" s="23" t="s">
        <v>139</v>
      </c>
    </row>
    <row r="50" spans="1:10" ht="20" customHeight="1" x14ac:dyDescent="0.15">
      <c r="A50" s="8" t="s">
        <v>113</v>
      </c>
      <c r="B50" s="13">
        <v>603</v>
      </c>
      <c r="C50" s="10">
        <v>2</v>
      </c>
      <c r="D50" s="11" t="s">
        <v>114</v>
      </c>
      <c r="E50" s="14"/>
      <c r="F50" s="12" t="s">
        <v>216</v>
      </c>
      <c r="G50" s="12" t="s">
        <v>217</v>
      </c>
      <c r="H50" s="22">
        <v>0.123</v>
      </c>
      <c r="I50" s="22">
        <f t="shared" si="2"/>
        <v>0.246</v>
      </c>
      <c r="J50" s="23" t="s">
        <v>139</v>
      </c>
    </row>
    <row r="51" spans="1:10" ht="20" customHeight="1" x14ac:dyDescent="0.15">
      <c r="A51" s="8" t="s">
        <v>115</v>
      </c>
      <c r="B51" s="9" t="s">
        <v>116</v>
      </c>
      <c r="C51" s="10">
        <v>2</v>
      </c>
      <c r="D51" s="11" t="s">
        <v>117</v>
      </c>
      <c r="E51" s="11" t="s">
        <v>118</v>
      </c>
      <c r="F51" s="12" t="s">
        <v>218</v>
      </c>
      <c r="G51" s="12" t="s">
        <v>219</v>
      </c>
      <c r="H51" s="22">
        <v>3.33</v>
      </c>
      <c r="I51" s="22">
        <f t="shared" si="2"/>
        <v>6.66</v>
      </c>
      <c r="J51" s="23" t="s">
        <v>139</v>
      </c>
    </row>
    <row r="52" spans="1:10" ht="20" customHeight="1" x14ac:dyDescent="0.15">
      <c r="A52" s="8" t="s">
        <v>119</v>
      </c>
      <c r="B52" s="9" t="s">
        <v>120</v>
      </c>
      <c r="C52" s="10">
        <v>5</v>
      </c>
      <c r="D52" s="11" t="s">
        <v>121</v>
      </c>
      <c r="E52" s="11" t="s">
        <v>122</v>
      </c>
      <c r="F52" s="12" t="s">
        <v>220</v>
      </c>
      <c r="G52" s="12" t="s">
        <v>221</v>
      </c>
      <c r="H52" s="22">
        <v>0.36899999999999999</v>
      </c>
      <c r="I52" s="22">
        <f t="shared" si="2"/>
        <v>1.845</v>
      </c>
      <c r="J52" s="23" t="s">
        <v>139</v>
      </c>
    </row>
    <row r="53" spans="1:10" ht="20" customHeight="1" x14ac:dyDescent="0.15">
      <c r="A53" s="8" t="s">
        <v>123</v>
      </c>
      <c r="B53" s="9" t="s">
        <v>124</v>
      </c>
      <c r="C53" s="10">
        <v>6</v>
      </c>
      <c r="D53" s="11" t="s">
        <v>125</v>
      </c>
      <c r="E53" s="14"/>
      <c r="F53" s="12" t="s">
        <v>222</v>
      </c>
      <c r="G53" s="12" t="s">
        <v>125</v>
      </c>
      <c r="H53" s="22">
        <v>1.8009999999999999</v>
      </c>
      <c r="I53" s="22">
        <f t="shared" si="2"/>
        <v>10.805999999999999</v>
      </c>
      <c r="J53" s="23" t="s">
        <v>139</v>
      </c>
    </row>
    <row r="54" spans="1:10" ht="20" customHeight="1" x14ac:dyDescent="0.15">
      <c r="A54" s="8" t="s">
        <v>126</v>
      </c>
      <c r="B54" s="9" t="s">
        <v>127</v>
      </c>
      <c r="C54" s="10">
        <v>1</v>
      </c>
      <c r="D54" s="11" t="s">
        <v>128</v>
      </c>
      <c r="E54" s="14"/>
      <c r="F54" s="12" t="s">
        <v>223</v>
      </c>
      <c r="G54" s="12" t="s">
        <v>128</v>
      </c>
      <c r="H54" s="22"/>
      <c r="I54" s="22">
        <f t="shared" si="2"/>
        <v>0</v>
      </c>
      <c r="J54" s="23" t="s">
        <v>166</v>
      </c>
    </row>
    <row r="55" spans="1:10" ht="20" customHeight="1" x14ac:dyDescent="0.15">
      <c r="A55" s="8" t="s">
        <v>129</v>
      </c>
      <c r="B55" s="9" t="s">
        <v>130</v>
      </c>
      <c r="C55" s="10">
        <v>3</v>
      </c>
      <c r="D55" s="11" t="s">
        <v>131</v>
      </c>
      <c r="E55" s="11" t="s">
        <v>132</v>
      </c>
      <c r="F55" s="12" t="s">
        <v>224</v>
      </c>
      <c r="G55" s="12" t="s">
        <v>131</v>
      </c>
      <c r="H55" s="22">
        <v>1.5</v>
      </c>
      <c r="I55" s="22">
        <f t="shared" si="2"/>
        <v>4.5</v>
      </c>
      <c r="J55" s="23" t="s">
        <v>139</v>
      </c>
    </row>
    <row r="56" spans="1:10" ht="20" customHeight="1" x14ac:dyDescent="0.15">
      <c r="H56" s="28" t="s">
        <v>225</v>
      </c>
      <c r="I56" s="19">
        <f>SUM(I3:I55)</f>
        <v>52.375599999999991</v>
      </c>
    </row>
  </sheetData>
  <mergeCells count="1">
    <mergeCell ref="A1:F1"/>
  </mergeCells>
  <conditionalFormatting sqref="J3:J55">
    <cfRule type="containsText" dxfId="2" priority="1" operator="containsText" text="ordered">
      <formula>NOT(ISERROR(SEARCH("ordered",J3)))</formula>
    </cfRule>
    <cfRule type="containsText" dxfId="1" priority="2" operator="containsText" text="m">
      <formula>NOT(ISERROR(SEARCH("m",J3)))</formula>
    </cfRule>
    <cfRule type="containsText" dxfId="0" priority="3" stopIfTrue="1" operator="containsText" text="inventory">
      <formula>NOT(ISERROR(SEARCH("inventory",J3)))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Noll</cp:lastModifiedBy>
  <dcterms:modified xsi:type="dcterms:W3CDTF">2025-10-07T17:48:41Z</dcterms:modified>
</cp:coreProperties>
</file>